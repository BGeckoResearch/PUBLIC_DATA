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2bbfc6d4c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ing" sheetId="1" r:id="R5f3f6b6637af46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$#,##0.00"/>
    <x:numFmt numFmtId="165" formatCode="0.0%"/>
  </x:numFmts>
  <x:fonts count="5">
    <x:font>
      <x:sz val="11"/>
      <x:color theme="1"/>
      <x:name val="Calibri"/>
      <x:family val="2"/>
      <x:scheme val="minor"/>
    </x:font>
    <x:font>
      <x:b/>
      <x:sz val="16"/>
    </x:font>
    <x:font>
      <x:b/>
    </x:font>
    <x:font>
      <x:b/>
      <x:color rgb="001F4E79"/>
    </x:font>
    <x:font>
      <x:color rgb="000000FF"/>
    </x:font>
  </x:fonts>
  <x:fills count="3">
    <x:fill>
      <x:patternFill patternType="none"/>
    </x:fill>
    <x:fill>
      <x:patternFill patternType="gray125"/>
    </x:fill>
    <x:fill>
      <x:patternFill patternType="solid">
        <x:fgColor rgb="00D9E1F2"/>
      </x:patternFill>
    </x:fill>
  </x:fills>
  <x:borders count="2">
    <x:border>
      <x:left/>
      <x:right/>
      <x:top/>
      <x:bottom/>
      <x:diagonal/>
    </x:border>
    <x:border>
      <x:left style="thin">
        <x:color rgb="00999999"/>
      </x:left>
      <x:right style="thin">
        <x:color rgb="00999999"/>
      </x:right>
      <x:top style="thin">
        <x:color rgb="00999999"/>
      </x:top>
      <x:bottom style="thin">
        <x:color rgb="0099999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/>
    <x:xf numFmtId="0" fontId="2" fillId="0" borderId="0" xfId="0"/>
    <x:xf numFmtId="0" fontId="3" fillId="2" borderId="1" xfId="0"/>
    <x:xf numFmtId="0" fontId="0" fillId="0" borderId="0" xfId="0" applyAlignment="1">
      <x:alignment vertical="top" wrapText="1"/>
    </x:xf>
    <x:xf numFmtId="0" fontId="0" fillId="0" borderId="1" xfId="0"/>
    <x:xf numFmtId="164" fontId="4" fillId="0" borderId="1" xfId="0"/>
    <x:xf numFmtId="165" fontId="4" fillId="0" borderId="1" xfId="0"/>
    <x:xf numFmtId="165" fontId="3" fillId="2" borderId="1" xfId="0"/>
    <x:xf numFmtId="165" fontId="0" fillId="0" borderId="1" xfId="0"/>
    <x:xf numFmtId="164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691ce7cd4b4242" /><Relationship Type="http://schemas.openxmlformats.org/officeDocument/2006/relationships/theme" Target="/xl/theme/theme1.xml" Id="R808f41c91a6e44fc" /><Relationship Type="http://schemas.openxmlformats.org/officeDocument/2006/relationships/sharedStrings" Target="/xl/sharedStrings.xml" Id="R0d2ee41db5264a91" /><Relationship Type="http://schemas.openxmlformats.org/officeDocument/2006/relationships/worksheet" Target="/xl/worksheets/sheet1.xml" Id="R5f3f6b6637af469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customWidth="1"/>
    <x:col min="2" max="2" width="18" customWidth="1"/>
    <x:col min="3" max="3" width="2" customWidth="1"/>
    <x:col min="4" max="4" width="18" customWidth="1"/>
    <x:col min="5" max="5" width="18" customWidth="1"/>
    <x:col min="6" max="6" width="18" customWidth="1"/>
  </x:cols>
  <x:sheetData>
    <x:row r="1">
      <x:c r="A1" s="1" t="inlineStr">
        <x:is>
          <x:t xml:space="preserve">Pricing Calculator (per SKU)</x:t>
        </x:is>
      </x:c>
    </x:row>
    <x:row r="3">
      <x:c r="A3" s="2" t="inlineStr">
        <x:is>
          <x:t xml:space="preserve">Inputs (blue)</x:t>
        </x:is>
      </x:c>
      <x:c r="D3" s="2" t="inlineStr">
        <x:is>
          <x:t xml:space="preserve">Notes</x:t>
        </x:is>
      </x:c>
    </x:row>
    <x:row r="4">
      <x:c r="A4" s="3" t="inlineStr">
        <x:is>
          <x:t xml:space="preserve">Component</x:t>
        </x:is>
      </x:c>
      <x:c r="B4" s="3" t="inlineStr">
        <x:is>
          <x:t xml:space="preserve">Value</x:t>
        </x:is>
      </x:c>
      <x:c r="D4" s="4" t="inlineStr">
        <x:is>
          <x:t xml:space="preserve">Enter costs and margin; the sheet computes a recommended price. Validate against market positioning and willingness-to-pay.</x:t>
        </x:is>
      </x:c>
    </x:row>
    <x:row r="5">
      <x:c r="A5" s="5" t="inlineStr">
        <x:is>
          <x:t xml:space="preserve">Base product cost</x:t>
        </x:is>
      </x:c>
      <x:c r="B5" s="6" t="n"/>
    </x:row>
    <x:row r="6">
      <x:c r="A6" s="5" t="inlineStr">
        <x:is>
          <x:t xml:space="preserve">Printing/embroidery cost</x:t>
        </x:is>
      </x:c>
      <x:c r="B6" s="6" t="n"/>
    </x:row>
    <x:row r="7">
      <x:c r="A7" s="5" t="inlineStr">
        <x:is>
          <x:t xml:space="preserve">Packaging cost</x:t>
        </x:is>
      </x:c>
      <x:c r="B7" s="6" t="n"/>
    </x:row>
    <x:row r="8">
      <x:c r="A8" s="5" t="inlineStr">
        <x:is>
          <x:t xml:space="preserve">Fulfillment fee</x:t>
        </x:is>
      </x:c>
      <x:c r="B8" s="6" t="n"/>
    </x:row>
    <x:row r="9">
      <x:c r="A9" s="5" t="inlineStr">
        <x:is>
          <x:t xml:space="preserve">Payment processing %</x:t>
        </x:is>
      </x:c>
      <x:c r="B9" s="6" t="n"/>
    </x:row>
    <x:row r="10">
      <x:c r="A10" s="5" t="inlineStr">
        <x:is>
          <x:t xml:space="preserve">Payment processing fixed</x:t>
        </x:is>
      </x:c>
      <x:c r="B10" s="7" t="n"/>
    </x:row>
    <x:row r="11">
      <x:c r="A11" s="5" t="inlineStr">
        <x:is>
          <x:t xml:space="preserve">Desired gross margin %</x:t>
        </x:is>
      </x:c>
      <x:c r="B11" s="7" t="n"/>
    </x:row>
    <x:row r="12">
      <x:c r="A12" s="5" t="inlineStr">
        <x:is>
          <x:t xml:space="preserve">Shipping charged to customer</x:t>
        </x:is>
      </x:c>
      <x:c r="B12" s="7" t="n"/>
    </x:row>
    <x:row r="14">
      <x:c r="A14" s="2" t="inlineStr">
        <x:is>
          <x:t xml:space="preserve">Outputs</x:t>
        </x:is>
      </x:c>
    </x:row>
    <x:row r="15">
      <x:c r="A15" s="3" t="inlineStr">
        <x:is>
          <x:t xml:space="preserve">Metric</x:t>
        </x:is>
      </x:c>
      <x:c r="B15" s="8">
        <x:f>SUM(B5:B8)</x:f>
        <x:v>0</x:v>
      </x:c>
    </x:row>
    <x:row r="16">
      <x:c r="A16" s="5" t="inlineStr">
        <x:is>
          <x:t xml:space="preserve">Unit cost (all-in, excl. processing)</x:t>
        </x:is>
      </x:c>
      <x:c r="B16" s="9">
        <x:f>IF(B18="","",($B$8*B18)+$B$9)</x:f>
      </x:c>
    </x:row>
    <x:row r="17">
      <x:c r="A17" s="5" t="inlineStr">
        <x:is>
          <x:t xml:space="preserve">Processing cost estimate</x:t>
        </x:is>
      </x:c>
    </x:row>
    <x:row r="18">
      <x:c r="A18" s="5" t="inlineStr">
        <x:is>
          <x:t xml:space="preserve">Recommended price (solve for margin)</x:t>
        </x:is>
      </x:c>
      <x:c r="B18" s="10">
        <x:f>IF(OR($B$10="",B15=""),"",B15/(1-$B$10))</x:f>
      </x:c>
    </x:row>
    <x:row r="19">
      <x:c r="A19" s="5" t="inlineStr">
        <x:is>
          <x:t xml:space="preserve">Contribution margin ($)</x:t>
        </x:is>
      </x:c>
      <x:c r="B19" s="10">
        <x:f>IF(B18="","",B18-B15-B16)</x:f>
      </x:c>
    </x:row>
    <x:row r="20">
      <x:c r="A20" s="5" t="inlineStr">
        <x:is>
          <x:t xml:space="preserve">Contribution margin (%)</x:t>
        </x:is>
      </x:c>
      <x:c r="B20" s="9">
        <x:f>IF(B18="","",IF(B18=0,0,B19/B18))</x:f>
      </x:c>
    </x:row>
  </x:sheetData>
  <x:mergeCells>
    <x:mergeCell ref="A1:F1"/>
    <x:mergeCell ref="D4:F12"/>
  </x:mergeCells>
  <x:pageMargins left="0.7" right="0.7" top="0.75" bottom="0.75" header="0.3" footer="0.3"/>
</x:worksheet>
</file>